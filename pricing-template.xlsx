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Инструкция" state="visible" r:id="rId4"/>
    <sheet sheetId="2" name="Расценки" state="visible" r:id="rId5"/>
    <sheet sheetId="3" name="Площадь" state="visible" r:id="rId6"/>
    <sheet sheetId="4" name="Пакеты" state="visible" r:id="rId7"/>
    <sheet sheetId="5" name="Состояние" state="visible" r:id="rId8"/>
    <sheet sheetId="6" name="Коэффициенты" state="visible" r:id="rId9"/>
    <sheet sheetId="7" name="Дополнения" state="visible" r:id="rId10"/>
    <sheet sheetId="8" name="Диапазон и срок" state="visible" r:id="rId11"/>
    <sheet sheetId="9" name="Утверждение" state="visible" r:id="rId12"/>
  </sheets>
  <calcPr calcId="171027"/>
</workbook>
</file>

<file path=xl/sharedStrings.xml><?xml version="1.0" encoding="utf-8"?>
<sst xmlns="http://schemas.openxmlformats.org/spreadsheetml/2006/main" count="165" uniqueCount="131">
  <si>
    <t>Прайс RUH Construction для смета-калькулятора</t>
  </si>
  <si>
    <t>1. Желтые ячейки заполняет RUH. Сейчас там ТЕСТОВЫЕ значения (для разработки): их нужно заменить на реальные.</t>
  </si>
  <si>
    <t>2. Расценка за м² это стоимость ремонта ПОД КЛЮЧ С МАТЕРИАЛАМИ для каждого класса отделки.</t>
  </si>
  <si>
    <t>3. Доли пакетов работ в сумме дают 100 (на листе 'Пакеты' есть проверка).</t>
  </si>
  <si>
    <t>4. Коэффициенты: 1,00 значит без изменения, 1,05 значит +5%.</t>
  </si>
  <si>
    <t>5. Лист 'Утверждение': пока стоит 'Нет', цифры на сайте НЕ показываются, калькулятор собирает заявки без цены.</t>
  </si>
  <si>
    <t>6. Срок актуальности расчета, описание классов (какие марки и категории материалов в каждом) и условия 'что входит / не входит' согласуются отдельно.</t>
  </si>
  <si>
    <t>7. Готовый файл отправьте разработчику: npm run pricing:import покажет различия с текущим прайсом и проверит данные.</t>
  </si>
  <si>
    <t>Расценки за м² и материалы</t>
  </si>
  <si>
    <t>Класс отделки: ставка под ключ с материалами, ₸/м²</t>
  </si>
  <si>
    <t>Класс</t>
  </si>
  <si>
    <t>₸/м² под ключ</t>
  </si>
  <si>
    <t>Комментарий</t>
  </si>
  <si>
    <t>Стандарт</t>
  </si>
  <si>
    <t/>
  </si>
  <si>
    <t>Комфорт</t>
  </si>
  <si>
    <t>Премиум</t>
  </si>
  <si>
    <t>Доля материалов в ставке (если материалы покупает клиент, вычитается)</t>
  </si>
  <si>
    <t>Доля 0..1</t>
  </si>
  <si>
    <t>Тип объекта</t>
  </si>
  <si>
    <t>Коэффициент</t>
  </si>
  <si>
    <t>Квартира, пентхаус</t>
  </si>
  <si>
    <t>Коммерческое помещение</t>
  </si>
  <si>
    <t>Коэффициент площади (малые площади дороже за м²)</t>
  </si>
  <si>
    <t>Верхняя граница включается: 'до 80' включает ровно 80. Последняя строка без границы (оставьте пустой).</t>
  </si>
  <si>
    <t>До, м² (включительно)</t>
  </si>
  <si>
    <t>последняя ступень, без границы</t>
  </si>
  <si>
    <t>Допустимая площадь для расчета</t>
  </si>
  <si>
    <t>м²</t>
  </si>
  <si>
    <t>Минимум</t>
  </si>
  <si>
    <t>Максимум</t>
  </si>
  <si>
    <t>Значение по умолчанию</t>
  </si>
  <si>
    <t>Доли пакетов работ, % (в сумме 100)</t>
  </si>
  <si>
    <t>Пакет</t>
  </si>
  <si>
    <t>Доля, %</t>
  </si>
  <si>
    <t>Что включает</t>
  </si>
  <si>
    <t>Демонтаж и подготовка</t>
  </si>
  <si>
    <t>Снос старых покрытий, перегородок по необходимости, вывоз мусора</t>
  </si>
  <si>
    <t>demolition</t>
  </si>
  <si>
    <t>Черновые работы</t>
  </si>
  <si>
    <t>Стяжка, выравнивание стен и потолков, штукатурка, грунтовка</t>
  </si>
  <si>
    <t>rough</t>
  </si>
  <si>
    <t>Электрика</t>
  </si>
  <si>
    <t>Разводка, щиток, розетки и выключатели</t>
  </si>
  <si>
    <t>electrical</t>
  </si>
  <si>
    <t>Освещение</t>
  </si>
  <si>
    <t>Монтаж светильников, трековых и подвесных систем</t>
  </si>
  <si>
    <t>lighting</t>
  </si>
  <si>
    <t>Сантехника</t>
  </si>
  <si>
    <t>Разводка, установка приборов, коллектор</t>
  </si>
  <si>
    <t>plumbing</t>
  </si>
  <si>
    <t>Плиточные работы</t>
  </si>
  <si>
    <t>Санузлы, кухня, зоны с плиткой</t>
  </si>
  <si>
    <t>tiling</t>
  </si>
  <si>
    <t>Напольные покрытия</t>
  </si>
  <si>
    <t>Паркет, ламинат, инженерная доска, кварцвинил, наливной пол</t>
  </si>
  <si>
    <t>flooring</t>
  </si>
  <si>
    <t>Малярные и декоративные работы</t>
  </si>
  <si>
    <t>Покраска, обои, декоративная штукатурка</t>
  </si>
  <si>
    <t>finishing</t>
  </si>
  <si>
    <t>Потолки</t>
  </si>
  <si>
    <t>Гипсокартон, натяжные, потолочные ниши</t>
  </si>
  <si>
    <t>ceilings</t>
  </si>
  <si>
    <t>Двери и обрамление</t>
  </si>
  <si>
    <t>Монтаж дверей, плинтусы, наличники</t>
  </si>
  <si>
    <t>doors_trim</t>
  </si>
  <si>
    <t>Логистика и уборка</t>
  </si>
  <si>
    <t>Доставка, подъем материалов, финальная уборка</t>
  </si>
  <si>
    <t>logistics</t>
  </si>
  <si>
    <t>Сумма (должна быть 100)</t>
  </si>
  <si>
    <t>Пресеты состава работ (какие пакеты входят)</t>
  </si>
  <si>
    <t>Служебная информация: меняется только вместе с разработчиком.</t>
  </si>
  <si>
    <t>turnkey</t>
  </si>
  <si>
    <t>demolition, rough, electrical, lighting, plumbing, tiling, flooring, finishing, ceilings, doors_trim, logistics</t>
  </si>
  <si>
    <t>rough_only</t>
  </si>
  <si>
    <t>demolition, rough, electrical, plumbing</t>
  </si>
  <si>
    <t>finish_only</t>
  </si>
  <si>
    <t>tiling, flooring, finishing, ceilings, doors_trim, lighting, logistics</t>
  </si>
  <si>
    <t>refresh</t>
  </si>
  <si>
    <t>finishing, flooring, doors_trim, lighting, logistics</t>
  </si>
  <si>
    <t>Поправка пакетов по состоянию объекта</t>
  </si>
  <si>
    <t>Множитель доли пакета. Пусто = 1,00. Пример: при старом ремонте демонтаж x3.</t>
  </si>
  <si>
    <t>Состояние / пакет</t>
  </si>
  <si>
    <t>Множитель</t>
  </si>
  <si>
    <t>Без отделки</t>
  </si>
  <si>
    <t xml:space="preserve">   (без поправок)</t>
  </si>
  <si>
    <t>Предчистовая от застройщика</t>
  </si>
  <si>
    <t xml:space="preserve">   rough</t>
  </si>
  <si>
    <t>prefinish.rough</t>
  </si>
  <si>
    <t xml:space="preserve">   demolition</t>
  </si>
  <si>
    <t>prefinish.demolition</t>
  </si>
  <si>
    <t>Старый ремонт, нужен демонтаж</t>
  </si>
  <si>
    <t>old.demolition</t>
  </si>
  <si>
    <t>Коэффициенты сложности</t>
  </si>
  <si>
    <t>Параметр</t>
  </si>
  <si>
    <t>Значение</t>
  </si>
  <si>
    <t>Потолки до 2,7 м</t>
  </si>
  <si>
    <t>Потолки 2,7-3,2 м</t>
  </si>
  <si>
    <t>Потолки выше 3,2 м</t>
  </si>
  <si>
    <t>Этаж без грузового лифта</t>
  </si>
  <si>
    <t>Обычный срок</t>
  </si>
  <si>
    <t>Ускоренный срок</t>
  </si>
  <si>
    <t>Дополнения (считаются отдельно от долей)</t>
  </si>
  <si>
    <t>Теплый пол: расценка, ₸/м²</t>
  </si>
  <si>
    <t>Теплый пол в санузлах: м² на один санузел</t>
  </si>
  <si>
    <t>Теплый пол во всех комнатах: доля площади (0..1)</t>
  </si>
  <si>
    <t>Перепланировка небольшая, % от базы</t>
  </si>
  <si>
    <t>Перепланировка средняя, % от базы</t>
  </si>
  <si>
    <t>Перепланировка крупная, % от базы</t>
  </si>
  <si>
    <t>Вентиляция и кондиционирование (коммерция), ₸/м²</t>
  </si>
  <si>
    <t>Ширина диапазона, округление и срок</t>
  </si>
  <si>
    <t>Базовая ширина диапазона, % (в обе стороны)</t>
  </si>
  <si>
    <t>Добавка, если нет дизайн-проекта, %</t>
  </si>
  <si>
    <t>Добавка, если состав работ не определен, %</t>
  </si>
  <si>
    <t>Добавка для коммерческих помещений, %</t>
  </si>
  <si>
    <t>Максимальная ширина диапазона, %</t>
  </si>
  <si>
    <t>Шаг округления, ₸</t>
  </si>
  <si>
    <t>Срок: фиксированные дни (подготовка, замеры)</t>
  </si>
  <si>
    <t>Срок: рабочих дней на м² при ремонте под ключ</t>
  </si>
  <si>
    <t>Срок: коэффициент сложности, квартира</t>
  </si>
  <si>
    <t>Срок: коэффициент сложности, коммерция</t>
  </si>
  <si>
    <t>Срок: разброс диапазона, %</t>
  </si>
  <si>
    <t>Публикация цен</t>
  </si>
  <si>
    <t>ВАЖНО: пока 'Нет', на публичном сайте цифры не показываются.</t>
  </si>
  <si>
    <t>Версия прайса (например 2026-11-01)</t>
  </si>
  <si>
    <t>2026-10-01-test</t>
  </si>
  <si>
    <t>Дата обновления (ГГГГ-ММ-ДД)</t>
  </si>
  <si>
    <t>2026-10-01</t>
  </si>
  <si>
    <t>Цены утверждены клиентом (Да/Нет)</t>
  </si>
  <si>
    <t>Нет</t>
  </si>
  <si>
    <t>Показывать ориентировочный срок (Да/Нет)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</si>
</sst>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 ##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i/>
      <color rgb="FF5B5B62"/>
    </font>
    <font>
      <b/>
      <color rgb="FFFFC7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F0F11"/>
      </patternFill>
    </fill>
    <fill>
      <patternFill patternType="solid">
        <fgColor rgb="FFFFF1B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2" borderId="0" xfId="0" applyFont="1" applyFill="1"/>
    <xf numFmtId="164" fontId="0" fillId="3" borderId="1" xfId="0" applyNumberFormat="1" applyFill="1" applyBorder="1"/>
    <xf numFmtId="2" fontId="0" fillId="3" borderId="1" xfId="0" applyNumberFormat="1" applyFill="1" applyBorder="1"/>
    <xf numFmtId="0" fontId="0" fillId="3" borderId="1" xfId="0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34" customWidth="1"/>
    <col min="2" max="2" width="18" customWidth="1"/>
    <col min="3" max="3" width="40" customWidth="1"/>
  </cols>
  <sheetData>
    <row r="1" spans="1:1" s="1" customFormat="1" x14ac:dyDescent="0.25">
      <c r="A1" s="1" t="s">
        <v>8</v>
      </c>
    </row>
    <row r="2" spans="1:1" s="3" customFormat="1" x14ac:dyDescent="0.25">
      <c r="A2" s="3" t="s">
        <v>9</v>
      </c>
    </row>
    <row r="4" spans="1:3" x14ac:dyDescent="0.25">
      <c r="A4" s="4" t="s">
        <v>10</v>
      </c>
      <c r="B4" s="4" t="s">
        <v>11</v>
      </c>
      <c r="C4" s="4" t="s">
        <v>12</v>
      </c>
    </row>
    <row r="5" spans="1:3" x14ac:dyDescent="0.25">
      <c r="A5" t="s">
        <v>13</v>
      </c>
      <c r="B5" s="5">
        <v>32000</v>
      </c>
      <c r="C5" t="s">
        <v>14</v>
      </c>
    </row>
    <row r="6" spans="1:3" x14ac:dyDescent="0.25">
      <c r="A6" t="s">
        <v>15</v>
      </c>
      <c r="B6" s="5">
        <v>45000</v>
      </c>
      <c r="C6" t="s">
        <v>14</v>
      </c>
    </row>
    <row r="7" spans="1:3" x14ac:dyDescent="0.25">
      <c r="A7" t="s">
        <v>16</v>
      </c>
      <c r="B7" s="5">
        <v>65000</v>
      </c>
      <c r="C7" t="s">
        <v>14</v>
      </c>
    </row>
    <row r="9" spans="1:3" x14ac:dyDescent="0.25">
      <c r="A9" s="4" t="s">
        <v>17</v>
      </c>
      <c r="B9" s="4" t="s">
        <v>18</v>
      </c>
      <c r="C9" s="4" t="s">
        <v>14</v>
      </c>
    </row>
    <row r="10" spans="1:3" x14ac:dyDescent="0.25">
      <c r="A10" t="s">
        <v>13</v>
      </c>
      <c r="B10" s="6">
        <v>0.45</v>
      </c>
      <c r="C10" t="s">
        <v>14</v>
      </c>
    </row>
    <row r="11" spans="1:3" x14ac:dyDescent="0.25">
      <c r="A11" t="s">
        <v>15</v>
      </c>
      <c r="B11" s="6">
        <v>0.5</v>
      </c>
      <c r="C11" t="s">
        <v>14</v>
      </c>
    </row>
    <row r="12" spans="1:3" x14ac:dyDescent="0.25">
      <c r="A12" t="s">
        <v>16</v>
      </c>
      <c r="B12" s="6">
        <v>0.55</v>
      </c>
      <c r="C12" t="s">
        <v>14</v>
      </c>
    </row>
    <row r="14" spans="1:3" x14ac:dyDescent="0.25">
      <c r="A14" s="4" t="s">
        <v>19</v>
      </c>
      <c r="B14" s="4" t="s">
        <v>20</v>
      </c>
      <c r="C14" s="4" t="s">
        <v>14</v>
      </c>
    </row>
    <row r="15" spans="1:3" x14ac:dyDescent="0.25">
      <c r="A15" t="s">
        <v>21</v>
      </c>
      <c r="B15" s="6">
        <v>1</v>
      </c>
      <c r="C15" t="s">
        <v>14</v>
      </c>
    </row>
    <row r="16" spans="1:3" x14ac:dyDescent="0.25">
      <c r="A16" t="s">
        <v>22</v>
      </c>
      <c r="B16" s="6">
        <v>1.1</v>
      </c>
      <c r="C16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30" customWidth="1"/>
    <col min="2" max="2" width="20" customWidth="1"/>
    <col min="3" max="3" width="40" customWidth="1"/>
  </cols>
  <sheetData>
    <row r="1" spans="1:1" s="1" customFormat="1" x14ac:dyDescent="0.25">
      <c r="A1" s="1" t="s">
        <v>23</v>
      </c>
    </row>
    <row r="2" spans="1:1" s="3" customFormat="1" x14ac:dyDescent="0.25">
      <c r="A2" s="3" t="s">
        <v>24</v>
      </c>
    </row>
    <row r="4" spans="1:3" x14ac:dyDescent="0.25">
      <c r="A4" s="4" t="s">
        <v>25</v>
      </c>
      <c r="B4" s="4" t="s">
        <v>20</v>
      </c>
      <c r="C4" s="4" t="s">
        <v>14</v>
      </c>
    </row>
    <row r="5" spans="1:3" x14ac:dyDescent="0.25">
      <c r="A5" s="7">
        <v>40</v>
      </c>
      <c r="B5" s="7">
        <v>1.1</v>
      </c>
      <c r="C5" t="s">
        <v>14</v>
      </c>
    </row>
    <row r="6" spans="1:3" x14ac:dyDescent="0.25">
      <c r="A6" s="7">
        <v>80</v>
      </c>
      <c r="B6" s="7">
        <v>1</v>
      </c>
      <c r="C6" t="s">
        <v>14</v>
      </c>
    </row>
    <row r="7" spans="1:3" x14ac:dyDescent="0.25">
      <c r="A7" s="7">
        <v>150</v>
      </c>
      <c r="B7" s="7">
        <v>0.97</v>
      </c>
      <c r="C7" t="s">
        <v>14</v>
      </c>
    </row>
    <row r="8" spans="1:3" x14ac:dyDescent="0.25">
      <c r="A8" s="7" t="s">
        <v>14</v>
      </c>
      <c r="B8" s="7">
        <v>0.94</v>
      </c>
      <c r="C8" t="s">
        <v>26</v>
      </c>
    </row>
    <row r="10" spans="1:3" x14ac:dyDescent="0.25">
      <c r="A10" s="4" t="s">
        <v>27</v>
      </c>
      <c r="B10" s="4" t="s">
        <v>28</v>
      </c>
      <c r="C10" s="4" t="s">
        <v>14</v>
      </c>
    </row>
    <row r="11" spans="1:2" x14ac:dyDescent="0.25">
      <c r="A11" t="s">
        <v>29</v>
      </c>
      <c r="B11" s="7">
        <v>20</v>
      </c>
    </row>
    <row r="12" spans="1:2" x14ac:dyDescent="0.25">
      <c r="A12" t="s">
        <v>30</v>
      </c>
      <c r="B12" s="7">
        <v>500</v>
      </c>
    </row>
    <row r="13" spans="1:2" x14ac:dyDescent="0.25">
      <c r="A13" t="s">
        <v>31</v>
      </c>
      <c r="B13" s="7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1" width="38" customWidth="1"/>
    <col min="2" max="2" width="18" customWidth="1"/>
    <col min="3" max="3" width="60" customWidth="1"/>
    <col min="4" max="4" width="9" hidden="1" customWidth="1"/>
  </cols>
  <sheetData>
    <row r="1" spans="1:1" s="1" customFormat="1" x14ac:dyDescent="0.25">
      <c r="A1" s="1" t="s">
        <v>32</v>
      </c>
    </row>
    <row r="3" spans="1:3" x14ac:dyDescent="0.25">
      <c r="A3" s="4" t="s">
        <v>33</v>
      </c>
      <c r="B3" s="4" t="s">
        <v>34</v>
      </c>
      <c r="C3" s="4" t="s">
        <v>35</v>
      </c>
    </row>
    <row r="4" spans="1:4" x14ac:dyDescent="0.25">
      <c r="A4" t="s">
        <v>36</v>
      </c>
      <c r="B4" s="7">
        <v>4</v>
      </c>
      <c r="C4" t="s">
        <v>37</v>
      </c>
      <c r="D4" t="s">
        <v>38</v>
      </c>
    </row>
    <row r="5" spans="1:4" x14ac:dyDescent="0.25">
      <c r="A5" t="s">
        <v>39</v>
      </c>
      <c r="B5" s="7">
        <v>20</v>
      </c>
      <c r="C5" t="s">
        <v>40</v>
      </c>
      <c r="D5" t="s">
        <v>41</v>
      </c>
    </row>
    <row r="6" spans="1:4" x14ac:dyDescent="0.25">
      <c r="A6" t="s">
        <v>42</v>
      </c>
      <c r="B6" s="7">
        <v>10</v>
      </c>
      <c r="C6" t="s">
        <v>43</v>
      </c>
      <c r="D6" t="s">
        <v>44</v>
      </c>
    </row>
    <row r="7" spans="1:4" x14ac:dyDescent="0.25">
      <c r="A7" t="s">
        <v>45</v>
      </c>
      <c r="B7" s="7">
        <v>3</v>
      </c>
      <c r="C7" t="s">
        <v>46</v>
      </c>
      <c r="D7" t="s">
        <v>47</v>
      </c>
    </row>
    <row r="8" spans="1:4" x14ac:dyDescent="0.25">
      <c r="A8" t="s">
        <v>48</v>
      </c>
      <c r="B8" s="7">
        <v>9</v>
      </c>
      <c r="C8" t="s">
        <v>49</v>
      </c>
      <c r="D8" t="s">
        <v>50</v>
      </c>
    </row>
    <row r="9" spans="1:4" x14ac:dyDescent="0.25">
      <c r="A9" t="s">
        <v>51</v>
      </c>
      <c r="B9" s="7">
        <v>13</v>
      </c>
      <c r="C9" t="s">
        <v>52</v>
      </c>
      <c r="D9" t="s">
        <v>53</v>
      </c>
    </row>
    <row r="10" spans="1:4" x14ac:dyDescent="0.25">
      <c r="A10" t="s">
        <v>54</v>
      </c>
      <c r="B10" s="7">
        <v>10</v>
      </c>
      <c r="C10" t="s">
        <v>55</v>
      </c>
      <c r="D10" t="s">
        <v>56</v>
      </c>
    </row>
    <row r="11" spans="1:4" x14ac:dyDescent="0.25">
      <c r="A11" t="s">
        <v>57</v>
      </c>
      <c r="B11" s="7">
        <v>12</v>
      </c>
      <c r="C11" t="s">
        <v>58</v>
      </c>
      <c r="D11" t="s">
        <v>59</v>
      </c>
    </row>
    <row r="12" spans="1:4" x14ac:dyDescent="0.25">
      <c r="A12" t="s">
        <v>60</v>
      </c>
      <c r="B12" s="7">
        <v>6</v>
      </c>
      <c r="C12" t="s">
        <v>61</v>
      </c>
      <c r="D12" t="s">
        <v>62</v>
      </c>
    </row>
    <row r="13" spans="1:4" x14ac:dyDescent="0.25">
      <c r="A13" t="s">
        <v>63</v>
      </c>
      <c r="B13" s="7">
        <v>7</v>
      </c>
      <c r="C13" t="s">
        <v>64</v>
      </c>
      <c r="D13" t="s">
        <v>65</v>
      </c>
    </row>
    <row r="14" spans="1:4" x14ac:dyDescent="0.25">
      <c r="A14" t="s">
        <v>66</v>
      </c>
      <c r="B14" s="7">
        <v>6</v>
      </c>
      <c r="C14" t="s">
        <v>67</v>
      </c>
      <c r="D14" t="s">
        <v>68</v>
      </c>
    </row>
    <row r="15" spans="1:3" s="8" customFormat="1" x14ac:dyDescent="0.25">
      <c r="A15" s="8" t="s">
        <v>69</v>
      </c>
      <c r="B15" s="8">
        <f>SUM(B4:B14)</f>
      </c>
      <c r="C15" s="8">
        <f>IF(ROUND(B15,4)=100,"ОК","Сумма не равна 100")</f>
      </c>
    </row>
    <row r="17" spans="1:1" s="1" customFormat="1" x14ac:dyDescent="0.25">
      <c r="A17" s="1" t="s">
        <v>70</v>
      </c>
    </row>
    <row r="18" spans="1:1" s="3" customFormat="1" x14ac:dyDescent="0.25">
      <c r="A18" s="3" t="s">
        <v>71</v>
      </c>
    </row>
    <row r="20" spans="1:3" x14ac:dyDescent="0.25">
      <c r="A20" t="s">
        <v>72</v>
      </c>
      <c r="B20" t="s">
        <v>14</v>
      </c>
      <c r="C20" t="s">
        <v>73</v>
      </c>
    </row>
    <row r="21" spans="1:3" x14ac:dyDescent="0.25">
      <c r="A21" t="s">
        <v>74</v>
      </c>
      <c r="B21" t="s">
        <v>14</v>
      </c>
      <c r="C21" t="s">
        <v>75</v>
      </c>
    </row>
    <row r="22" spans="1:3" x14ac:dyDescent="0.25">
      <c r="A22" t="s">
        <v>76</v>
      </c>
      <c r="B22" t="s">
        <v>14</v>
      </c>
      <c r="C22" t="s">
        <v>77</v>
      </c>
    </row>
    <row r="23" spans="1:3" x14ac:dyDescent="0.25">
      <c r="A23" t="s">
        <v>78</v>
      </c>
      <c r="B23" t="s">
        <v>14</v>
      </c>
      <c r="C23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34" customWidth="1"/>
    <col min="2" max="2" width="18" customWidth="1"/>
    <col min="3" max="3" width="18" hidden="1" customWidth="1"/>
  </cols>
  <sheetData>
    <row r="1" spans="1:1" s="1" customFormat="1" x14ac:dyDescent="0.25">
      <c r="A1" s="1" t="s">
        <v>80</v>
      </c>
    </row>
    <row r="2" spans="1:1" s="3" customFormat="1" x14ac:dyDescent="0.25">
      <c r="A2" s="3" t="s">
        <v>81</v>
      </c>
    </row>
    <row r="4" spans="1:3" x14ac:dyDescent="0.25">
      <c r="A4" s="4" t="s">
        <v>82</v>
      </c>
      <c r="B4" s="4" t="s">
        <v>83</v>
      </c>
      <c r="C4" s="4" t="s">
        <v>14</v>
      </c>
    </row>
    <row r="5" spans="1:1" s="8" customFormat="1" x14ac:dyDescent="0.25">
      <c r="A5" s="8" t="s">
        <v>84</v>
      </c>
    </row>
    <row r="6" spans="1:3" x14ac:dyDescent="0.25">
      <c r="A6" t="s">
        <v>85</v>
      </c>
      <c r="B6" t="s">
        <v>14</v>
      </c>
      <c r="C6" t="s">
        <v>14</v>
      </c>
    </row>
    <row r="7" spans="1:1" s="8" customFormat="1" x14ac:dyDescent="0.25">
      <c r="A7" s="8" t="s">
        <v>86</v>
      </c>
    </row>
    <row r="8" spans="1:3" x14ac:dyDescent="0.25">
      <c r="A8" t="s">
        <v>87</v>
      </c>
      <c r="B8" s="7">
        <v>0.4</v>
      </c>
      <c r="C8" t="s">
        <v>88</v>
      </c>
    </row>
    <row r="9" spans="1:3" x14ac:dyDescent="0.25">
      <c r="A9" t="s">
        <v>89</v>
      </c>
      <c r="B9" s="7">
        <v>0</v>
      </c>
      <c r="C9" t="s">
        <v>90</v>
      </c>
    </row>
    <row r="10" spans="1:1" s="8" customFormat="1" x14ac:dyDescent="0.25">
      <c r="A10" s="8" t="s">
        <v>91</v>
      </c>
    </row>
    <row r="11" spans="1:3" x14ac:dyDescent="0.25">
      <c r="A11" t="s">
        <v>89</v>
      </c>
      <c r="B11" s="7">
        <v>3</v>
      </c>
      <c r="C11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44" customWidth="1"/>
    <col min="2" max="2" width="18" customWidth="1"/>
  </cols>
  <sheetData>
    <row r="1" spans="1:1" s="1" customFormat="1" x14ac:dyDescent="0.25">
      <c r="A1" s="1" t="s">
        <v>93</v>
      </c>
    </row>
    <row r="3" spans="1:2" x14ac:dyDescent="0.25">
      <c r="A3" s="4" t="s">
        <v>94</v>
      </c>
      <c r="B3" s="4" t="s">
        <v>95</v>
      </c>
    </row>
    <row r="4" spans="1:2" x14ac:dyDescent="0.25">
      <c r="A4" t="s">
        <v>96</v>
      </c>
      <c r="B4" s="7">
        <v>1</v>
      </c>
    </row>
    <row r="5" spans="1:2" x14ac:dyDescent="0.25">
      <c r="A5" t="s">
        <v>97</v>
      </c>
      <c r="B5" s="7">
        <v>1.05</v>
      </c>
    </row>
    <row r="6" spans="1:2" x14ac:dyDescent="0.25">
      <c r="A6" t="s">
        <v>98</v>
      </c>
      <c r="B6" s="7">
        <v>1.12</v>
      </c>
    </row>
    <row r="7" spans="1:2" x14ac:dyDescent="0.25">
      <c r="A7" t="s">
        <v>99</v>
      </c>
      <c r="B7" s="7">
        <v>1.03</v>
      </c>
    </row>
    <row r="8" spans="1:2" x14ac:dyDescent="0.25">
      <c r="A8" t="s">
        <v>100</v>
      </c>
      <c r="B8" s="7">
        <v>1</v>
      </c>
    </row>
    <row r="9" spans="1:2" x14ac:dyDescent="0.25">
      <c r="A9" t="s">
        <v>101</v>
      </c>
      <c r="B9" s="7">
        <v>1.12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50" customWidth="1"/>
    <col min="2" max="2" width="18" customWidth="1"/>
  </cols>
  <sheetData>
    <row r="1" spans="1:1" s="1" customFormat="1" x14ac:dyDescent="0.25">
      <c r="A1" s="1" t="s">
        <v>102</v>
      </c>
    </row>
    <row r="3" spans="1:2" x14ac:dyDescent="0.25">
      <c r="A3" s="4" t="s">
        <v>94</v>
      </c>
      <c r="B3" s="4" t="s">
        <v>95</v>
      </c>
    </row>
    <row r="4" spans="1:2" x14ac:dyDescent="0.25">
      <c r="A4" t="s">
        <v>103</v>
      </c>
      <c r="B4" s="7">
        <v>9000</v>
      </c>
    </row>
    <row r="5" spans="1:2" x14ac:dyDescent="0.25">
      <c r="A5" t="s">
        <v>104</v>
      </c>
      <c r="B5" s="7">
        <v>5</v>
      </c>
    </row>
    <row r="6" spans="1:2" x14ac:dyDescent="0.25">
      <c r="A6" t="s">
        <v>105</v>
      </c>
      <c r="B6" s="7">
        <v>0.8</v>
      </c>
    </row>
    <row r="7" spans="1:2" x14ac:dyDescent="0.25">
      <c r="A7" t="s">
        <v>106</v>
      </c>
      <c r="B7" s="7">
        <v>3</v>
      </c>
    </row>
    <row r="8" spans="1:2" x14ac:dyDescent="0.25">
      <c r="A8" t="s">
        <v>107</v>
      </c>
      <c r="B8" s="7">
        <v>6</v>
      </c>
    </row>
    <row r="9" spans="1:2" x14ac:dyDescent="0.25">
      <c r="A9" t="s">
        <v>108</v>
      </c>
      <c r="B9" s="7">
        <v>10</v>
      </c>
    </row>
    <row r="10" spans="1:2" x14ac:dyDescent="0.25">
      <c r="A10" t="s">
        <v>109</v>
      </c>
      <c r="B10" s="7">
        <v>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58" customWidth="1"/>
    <col min="2" max="2" width="18" customWidth="1"/>
  </cols>
  <sheetData>
    <row r="1" spans="1:1" s="1" customFormat="1" x14ac:dyDescent="0.25">
      <c r="A1" s="1" t="s">
        <v>110</v>
      </c>
    </row>
    <row r="3" spans="1:2" x14ac:dyDescent="0.25">
      <c r="A3" s="4" t="s">
        <v>94</v>
      </c>
      <c r="B3" s="4" t="s">
        <v>95</v>
      </c>
    </row>
    <row r="4" spans="1:2" x14ac:dyDescent="0.25">
      <c r="A4" t="s">
        <v>111</v>
      </c>
      <c r="B4" s="7">
        <v>10</v>
      </c>
    </row>
    <row r="5" spans="1:2" x14ac:dyDescent="0.25">
      <c r="A5" t="s">
        <v>112</v>
      </c>
      <c r="B5" s="7">
        <v>5</v>
      </c>
    </row>
    <row r="6" spans="1:2" x14ac:dyDescent="0.25">
      <c r="A6" t="s">
        <v>113</v>
      </c>
      <c r="B6" s="7">
        <v>5</v>
      </c>
    </row>
    <row r="7" spans="1:2" x14ac:dyDescent="0.25">
      <c r="A7" t="s">
        <v>114</v>
      </c>
      <c r="B7" s="7">
        <v>5</v>
      </c>
    </row>
    <row r="8" spans="1:2" x14ac:dyDescent="0.25">
      <c r="A8" t="s">
        <v>115</v>
      </c>
      <c r="B8" s="7">
        <v>25</v>
      </c>
    </row>
    <row r="9" spans="1:2" x14ac:dyDescent="0.25">
      <c r="A9" t="s">
        <v>116</v>
      </c>
      <c r="B9" s="7">
        <v>10000</v>
      </c>
    </row>
    <row r="10" spans="1:2" x14ac:dyDescent="0.25">
      <c r="A10" t="s">
        <v>117</v>
      </c>
      <c r="B10" s="7">
        <v>14</v>
      </c>
    </row>
    <row r="11" spans="1:2" x14ac:dyDescent="0.25">
      <c r="A11" t="s">
        <v>118</v>
      </c>
      <c r="B11" s="7">
        <v>0.9</v>
      </c>
    </row>
    <row r="12" spans="1:2" x14ac:dyDescent="0.25">
      <c r="A12" t="s">
        <v>119</v>
      </c>
      <c r="B12" s="7">
        <v>1</v>
      </c>
    </row>
    <row r="13" spans="1:2" x14ac:dyDescent="0.25">
      <c r="A13" t="s">
        <v>120</v>
      </c>
      <c r="B13" s="7">
        <v>1.1</v>
      </c>
    </row>
    <row r="14" spans="1:2" x14ac:dyDescent="0.25">
      <c r="A14" t="s">
        <v>121</v>
      </c>
      <c r="B14" s="7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58" customWidth="1"/>
    <col min="2" max="2" width="24" customWidth="1"/>
  </cols>
  <sheetData>
    <row r="1" spans="1:1" s="1" customFormat="1" x14ac:dyDescent="0.25">
      <c r="A1" s="1" t="s">
        <v>122</v>
      </c>
    </row>
    <row r="2" spans="1:1" s="3" customFormat="1" x14ac:dyDescent="0.25">
      <c r="A2" s="3" t="s">
        <v>123</v>
      </c>
    </row>
    <row r="4" spans="1:2" x14ac:dyDescent="0.25">
      <c r="A4" s="4" t="s">
        <v>94</v>
      </c>
      <c r="B4" s="4" t="s">
        <v>95</v>
      </c>
    </row>
    <row r="5" spans="1:2" x14ac:dyDescent="0.25">
      <c r="A5" t="s">
        <v>124</v>
      </c>
      <c r="B5" s="7" t="s">
        <v>125</v>
      </c>
    </row>
    <row r="6" spans="1:2" x14ac:dyDescent="0.25">
      <c r="A6" t="s">
        <v>126</v>
      </c>
      <c r="B6" s="7" t="s">
        <v>127</v>
      </c>
    </row>
    <row r="7" spans="1:2" x14ac:dyDescent="0.25">
      <c r="A7" t="s">
        <v>128</v>
      </c>
      <c r="B7" s="7" t="s">
        <v>129</v>
      </c>
    </row>
    <row r="8" spans="1:2" x14ac:dyDescent="0.25">
      <c r="A8" t="s">
        <v>130</v>
      </c>
      <c r="B8" s="7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Инструкция</vt:lpstr>
      <vt:lpstr>Расценки</vt:lpstr>
      <vt:lpstr>Площадь</vt:lpstr>
      <vt:lpstr>Пакеты</vt:lpstr>
      <vt:lpstr>Состояние</vt:lpstr>
      <vt:lpstr>Коэффициенты</vt:lpstr>
      <vt:lpstr>Дополнения</vt:lpstr>
      <vt:lpstr>Диапазон и срок</vt:lpstr>
      <vt:lpstr>Утверждение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 Construction</dc:creator>
  <dc:title/>
  <dc:subject/>
  <dc:description/>
  <cp:keywords/>
  <cp:category/>
  <cp:lastModifiedBy>Unknown</cp:lastModifiedBy>
  <dcterms:created xsi:type="dcterms:W3CDTF">2026-10-01T11:41:33Z</dcterms:created>
  <dcterms:modified xsi:type="dcterms:W3CDTF">2026-10-01T11:41:33Z</dcterms:modified>
</cp:coreProperties>
</file>